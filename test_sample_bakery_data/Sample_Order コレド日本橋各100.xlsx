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iros\マイドライブ（hiroshikimura164@gmail.com）\Antigravity Bakery\test_sample_bakery_data\"/>
    </mc:Choice>
  </mc:AlternateContent>
  <xr:revisionPtr revIDLastSave="0" documentId="13_ncr:1_{61D46C97-E9DA-4AA2-A842-553DC1A41C0C}" xr6:coauthVersionLast="47" xr6:coauthVersionMax="47" xr10:uidLastSave="{00000000-0000-0000-0000-000000000000}"/>
  <bookViews>
    <workbookView xWindow="-108" yWindow="-108" windowWidth="23256" windowHeight="12456" xr2:uid="{4270751D-63FC-44B5-895B-2AF562B4D394}"/>
  </bookViews>
  <sheets>
    <sheet name="20260317" sheetId="1" r:id="rId1"/>
  </sheets>
  <definedNames>
    <definedName name="_xlnm._FilterDatabase" localSheetId="0" hidden="1">'20260317'!$B$2:$AM$14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14" i="1" l="1"/>
  <c r="AM13" i="1"/>
  <c r="AM12" i="1"/>
  <c r="AM11" i="1"/>
  <c r="AM10" i="1"/>
  <c r="AM9" i="1"/>
  <c r="AM8" i="1"/>
  <c r="AM7" i="1"/>
  <c r="AM6" i="1"/>
  <c r="AM5" i="1"/>
  <c r="AM4" i="1"/>
</calcChain>
</file>

<file path=xl/sharedStrings.xml><?xml version="1.0" encoding="utf-8"?>
<sst xmlns="http://schemas.openxmlformats.org/spreadsheetml/2006/main" count="78" uniqueCount="64">
  <si>
    <t>コレド</t>
    <phoneticPr fontId="4"/>
  </si>
  <si>
    <t>日本橋高島屋</t>
    <rPh sb="0" eb="3">
      <t>ニホンバシ</t>
    </rPh>
    <rPh sb="3" eb="6">
      <t>タカシマヤ</t>
    </rPh>
    <phoneticPr fontId="4"/>
  </si>
  <si>
    <t>銀松</t>
    <rPh sb="0" eb="1">
      <t>ギン</t>
    </rPh>
    <rPh sb="1" eb="2">
      <t>マツ</t>
    </rPh>
    <phoneticPr fontId="4"/>
  </si>
  <si>
    <t>大丸東京</t>
    <rPh sb="0" eb="4">
      <t>ダイマルトウキョウ</t>
    </rPh>
    <phoneticPr fontId="4"/>
  </si>
  <si>
    <t>AC
大手町</t>
    <rPh sb="3" eb="6">
      <t>オオテマチ</t>
    </rPh>
    <phoneticPr fontId="6"/>
  </si>
  <si>
    <t>東京ベイコート俱楽部</t>
    <rPh sb="0" eb="2">
      <t>トウキョウ</t>
    </rPh>
    <rPh sb="7" eb="10">
      <t>クラブ</t>
    </rPh>
    <phoneticPr fontId="14"/>
  </si>
  <si>
    <t>ドミニク・ブシェ・ トーキョー</t>
    <phoneticPr fontId="4"/>
  </si>
  <si>
    <t>シャングリラ</t>
    <phoneticPr fontId="15"/>
  </si>
  <si>
    <t>ブルームバーグ</t>
    <phoneticPr fontId="2"/>
  </si>
  <si>
    <t>ロオジエ</t>
    <phoneticPr fontId="2"/>
  </si>
  <si>
    <t>アロフト東京銀座</t>
    <rPh sb="4" eb="6">
      <t>トウキョウ</t>
    </rPh>
    <phoneticPr fontId="4"/>
  </si>
  <si>
    <t>綱町三井俱楽部</t>
    <rPh sb="0" eb="7">
      <t>ツナマチミツイクラブ</t>
    </rPh>
    <phoneticPr fontId="4"/>
  </si>
  <si>
    <t>アサヒナ ガストロノーム</t>
    <phoneticPr fontId="4"/>
  </si>
  <si>
    <t>旅する子ブタ</t>
    <rPh sb="0" eb="1">
      <t>タビ</t>
    </rPh>
    <rPh sb="3" eb="4">
      <t>コ</t>
    </rPh>
    <phoneticPr fontId="4"/>
  </si>
  <si>
    <t>WAKANUI</t>
    <phoneticPr fontId="4"/>
  </si>
  <si>
    <t>カンテサンス</t>
    <phoneticPr fontId="1"/>
  </si>
  <si>
    <t>ホテルザセレスティン東京芝</t>
    <phoneticPr fontId="4"/>
  </si>
  <si>
    <t>アンダーズ東京</t>
    <rPh sb="5" eb="7">
      <t>トウキョウ</t>
    </rPh>
    <phoneticPr fontId="4"/>
  </si>
  <si>
    <t>レ・コパン ドゥ ドミニク・ブシェ</t>
    <phoneticPr fontId="4"/>
  </si>
  <si>
    <t>it COFFEE</t>
    <phoneticPr fontId="4"/>
  </si>
  <si>
    <t>café</t>
    <phoneticPr fontId="4"/>
  </si>
  <si>
    <t>よびのパン</t>
    <phoneticPr fontId="4"/>
  </si>
  <si>
    <t>バゲット</t>
  </si>
  <si>
    <t>バゲット50g</t>
  </si>
  <si>
    <t>アサス50g</t>
  </si>
  <si>
    <t>バタール</t>
  </si>
  <si>
    <t>チャバタ(大)</t>
  </si>
  <si>
    <t>さつまいも</t>
  </si>
  <si>
    <t>フロマージュ</t>
  </si>
  <si>
    <t>ヴィエノワーズナチュール</t>
  </si>
  <si>
    <t>ノア</t>
  </si>
  <si>
    <t>レザンノア</t>
  </si>
  <si>
    <t>ヴィエノワ</t>
  </si>
  <si>
    <t>チャバタ</t>
    <phoneticPr fontId="4"/>
  </si>
  <si>
    <t>アングレディオン</t>
    <phoneticPr fontId="4"/>
  </si>
  <si>
    <t>1便</t>
    <rPh sb="1" eb="2">
      <t>ビン</t>
    </rPh>
    <phoneticPr fontId="4"/>
  </si>
  <si>
    <t>2便</t>
    <rPh sb="1" eb="2">
      <t>ビン</t>
    </rPh>
    <phoneticPr fontId="4"/>
  </si>
  <si>
    <t>3便</t>
    <rPh sb="1" eb="2">
      <t>ビン</t>
    </rPh>
    <phoneticPr fontId="4"/>
  </si>
  <si>
    <t>１便</t>
    <rPh sb="1" eb="2">
      <t>ビン</t>
    </rPh>
    <phoneticPr fontId="4"/>
  </si>
  <si>
    <t>レストラン</t>
    <phoneticPr fontId="4"/>
  </si>
  <si>
    <t>カフェ</t>
    <phoneticPr fontId="4"/>
  </si>
  <si>
    <t>宴会場</t>
    <rPh sb="0" eb="3">
      <t>エンカイジョウ</t>
    </rPh>
    <phoneticPr fontId="4"/>
  </si>
  <si>
    <t>その他</t>
    <rPh sb="2" eb="3">
      <t>タ</t>
    </rPh>
    <phoneticPr fontId="4"/>
  </si>
  <si>
    <t>受注：</t>
    <rPh sb="0" eb="2">
      <t>ジュチュウ</t>
    </rPh>
    <phoneticPr fontId="4"/>
  </si>
  <si>
    <t>コレド日本橋店</t>
    <rPh sb="3" eb="6">
      <t>ニホンバシ</t>
    </rPh>
    <rPh sb="6" eb="7">
      <t>テン</t>
    </rPh>
    <phoneticPr fontId="4"/>
  </si>
  <si>
    <t>MH00010014</t>
  </si>
  <si>
    <t>MH80040000</t>
  </si>
  <si>
    <t>MH80850000</t>
  </si>
  <si>
    <t>MH00050015</t>
    <phoneticPr fontId="4"/>
  </si>
  <si>
    <t>MH00100204</t>
  </si>
  <si>
    <t>MH00180106</t>
  </si>
  <si>
    <t>フィグ</t>
    <phoneticPr fontId="4"/>
  </si>
  <si>
    <t>MH00190117</t>
  </si>
  <si>
    <t>MH00200119</t>
  </si>
  <si>
    <t>MH00260303</t>
  </si>
  <si>
    <t>MH00360318</t>
  </si>
  <si>
    <t>MH00340316</t>
  </si>
  <si>
    <t>product_code</t>
    <phoneticPr fontId="4"/>
  </si>
  <si>
    <t>product_name</t>
    <phoneticPr fontId="4"/>
  </si>
  <si>
    <t>Category</t>
    <phoneticPr fontId="4"/>
  </si>
  <si>
    <t>Sales_price</t>
    <phoneticPr fontId="6"/>
  </si>
  <si>
    <t>Work_point</t>
    <phoneticPr fontId="4"/>
  </si>
  <si>
    <t>Internal transfer price</t>
    <phoneticPr fontId="4"/>
  </si>
  <si>
    <t>Total_Amount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</si>
</sst>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;[Red]\-#,##0.0"/>
  </numFmts>
  <fonts count="20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b/>
      <sz val="16"/>
      <name val="HGPｺﾞｼｯｸM"/>
      <family val="3"/>
      <charset val="128"/>
    </font>
    <font>
      <sz val="6"/>
      <name val="游ゴシック"/>
      <family val="2"/>
      <charset val="128"/>
      <scheme val="minor"/>
    </font>
    <font>
      <sz val="8"/>
      <name val="HGPｺﾞｼｯｸM"/>
      <family val="3"/>
      <charset val="128"/>
    </font>
    <font>
      <sz val="6"/>
      <name val="HGPｺﾞｼｯｸM"/>
      <family val="2"/>
      <charset val="128"/>
    </font>
    <font>
      <sz val="6"/>
      <name val="HGPｺﾞｼｯｸM"/>
      <family val="3"/>
      <charset val="128"/>
    </font>
    <font>
      <sz val="11"/>
      <name val="HGPｺﾞｼｯｸM"/>
      <family val="3"/>
      <charset val="128"/>
    </font>
    <font>
      <sz val="10"/>
      <name val="HGPｺﾞｼｯｸM"/>
      <family val="3"/>
      <charset val="128"/>
    </font>
    <font>
      <sz val="9"/>
      <name val="HGPｺﾞｼｯｸM"/>
      <family val="3"/>
      <charset val="128"/>
    </font>
    <font>
      <sz val="6"/>
      <color theme="1"/>
      <name val="游ゴシック"/>
      <family val="3"/>
      <charset val="128"/>
      <scheme val="minor"/>
    </font>
    <font>
      <sz val="8"/>
      <color theme="1"/>
      <name val="游ゴシック"/>
      <family val="3"/>
      <charset val="128"/>
      <scheme val="minor"/>
    </font>
    <font>
      <sz val="6"/>
      <name val="游ゴシック"/>
      <family val="3"/>
      <charset val="128"/>
      <scheme val="minor"/>
    </font>
    <font>
      <sz val="11"/>
      <color rgb="FF9C6500"/>
      <name val="游ゴシック"/>
      <family val="2"/>
      <charset val="128"/>
      <scheme val="minor"/>
    </font>
    <font>
      <sz val="7"/>
      <name val="游ゴシック"/>
      <family val="3"/>
      <charset val="128"/>
      <scheme val="minor"/>
    </font>
    <font>
      <sz val="9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sz val="7"/>
      <color rgb="FFFF0000"/>
      <name val="Consolas"/>
      <family val="3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6" tint="0.59999389629810485"/>
        <bgColor theme="6" tint="0.59999389629810485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theme="0"/>
      </bottom>
      <diagonal/>
    </border>
    <border>
      <left style="thin">
        <color auto="1"/>
      </left>
      <right/>
      <top/>
      <bottom style="thin">
        <color theme="0"/>
      </bottom>
      <diagonal/>
    </border>
    <border>
      <left/>
      <right style="thin">
        <color auto="1"/>
      </right>
      <top/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auto="1"/>
      </top>
      <bottom style="thin">
        <color theme="0"/>
      </bottom>
      <diagonal/>
    </border>
    <border>
      <left style="thin">
        <color auto="1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thin">
        <color auto="1"/>
      </left>
      <right style="thin">
        <color theme="0"/>
      </right>
      <top style="thin">
        <color auto="1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/>
      <bottom style="thin">
        <color theme="0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</borders>
  <cellStyleXfs count="5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7" fillId="0" borderId="0">
      <alignment vertical="center"/>
    </xf>
  </cellStyleXfs>
  <cellXfs count="72">
    <xf numFmtId="0" fontId="0" fillId="0" borderId="0" xfId="0">
      <alignment vertical="center"/>
    </xf>
    <xf numFmtId="0" fontId="9" fillId="2" borderId="8" xfId="2" applyFont="1" applyFill="1" applyBorder="1" applyAlignment="1">
      <alignment vertical="center" shrinkToFit="1"/>
    </xf>
    <xf numFmtId="0" fontId="9" fillId="2" borderId="9" xfId="2" applyFont="1" applyFill="1" applyBorder="1" applyAlignment="1">
      <alignment vertical="center" shrinkToFit="1"/>
    </xf>
    <xf numFmtId="0" fontId="8" fillId="2" borderId="9" xfId="2" applyFont="1" applyFill="1" applyBorder="1" applyAlignment="1">
      <alignment horizontal="right" vertical="center"/>
    </xf>
    <xf numFmtId="0" fontId="8" fillId="2" borderId="10" xfId="2" applyFont="1" applyFill="1" applyBorder="1" applyAlignment="1">
      <alignment horizontal="right" vertical="center"/>
    </xf>
    <xf numFmtId="0" fontId="8" fillId="2" borderId="11" xfId="2" applyFont="1" applyFill="1" applyBorder="1" applyAlignment="1">
      <alignment horizontal="right" vertical="center"/>
    </xf>
    <xf numFmtId="0" fontId="8" fillId="2" borderId="12" xfId="2" applyFont="1" applyFill="1" applyBorder="1" applyAlignment="1">
      <alignment horizontal="right" vertical="center"/>
    </xf>
    <xf numFmtId="0" fontId="8" fillId="2" borderId="13" xfId="2" applyFont="1" applyFill="1" applyBorder="1" applyAlignment="1">
      <alignment horizontal="right" vertical="center"/>
    </xf>
    <xf numFmtId="0" fontId="8" fillId="2" borderId="14" xfId="2" applyFont="1" applyFill="1" applyBorder="1" applyAlignment="1">
      <alignment horizontal="right" vertical="center"/>
    </xf>
    <xf numFmtId="0" fontId="18" fillId="2" borderId="15" xfId="0" applyFont="1" applyFill="1" applyBorder="1" applyAlignment="1">
      <alignment horizontal="right" vertical="center"/>
    </xf>
    <xf numFmtId="0" fontId="18" fillId="2" borderId="13" xfId="0" applyFont="1" applyFill="1" applyBorder="1" applyAlignment="1">
      <alignment horizontal="right" vertical="center"/>
    </xf>
    <xf numFmtId="0" fontId="18" fillId="2" borderId="10" xfId="0" applyFont="1" applyFill="1" applyBorder="1" applyAlignment="1">
      <alignment horizontal="right" vertical="center"/>
    </xf>
    <xf numFmtId="0" fontId="18" fillId="2" borderId="9" xfId="0" applyFont="1" applyFill="1" applyBorder="1" applyAlignment="1">
      <alignment horizontal="right" vertical="center"/>
    </xf>
    <xf numFmtId="0" fontId="18" fillId="2" borderId="14" xfId="0" applyFont="1" applyFill="1" applyBorder="1" applyAlignment="1">
      <alignment horizontal="right" vertical="center"/>
    </xf>
    <xf numFmtId="0" fontId="18" fillId="2" borderId="8" xfId="0" applyFont="1" applyFill="1" applyBorder="1">
      <alignment vertical="center"/>
    </xf>
    <xf numFmtId="0" fontId="9" fillId="3" borderId="8" xfId="2" applyFont="1" applyFill="1" applyBorder="1" applyAlignment="1">
      <alignment vertical="center" shrinkToFit="1"/>
    </xf>
    <xf numFmtId="0" fontId="9" fillId="3" borderId="9" xfId="2" applyFont="1" applyFill="1" applyBorder="1" applyAlignment="1">
      <alignment vertical="center" shrinkToFit="1"/>
    </xf>
    <xf numFmtId="0" fontId="8" fillId="3" borderId="10" xfId="2" applyFont="1" applyFill="1" applyBorder="1" applyAlignment="1">
      <alignment horizontal="right" vertical="center"/>
    </xf>
    <xf numFmtId="0" fontId="8" fillId="3" borderId="12" xfId="2" applyFont="1" applyFill="1" applyBorder="1" applyAlignment="1">
      <alignment horizontal="right" vertical="center"/>
    </xf>
    <xf numFmtId="0" fontId="8" fillId="3" borderId="13" xfId="2" applyFont="1" applyFill="1" applyBorder="1" applyAlignment="1">
      <alignment horizontal="right" vertical="center"/>
    </xf>
    <xf numFmtId="0" fontId="8" fillId="3" borderId="16" xfId="2" applyFont="1" applyFill="1" applyBorder="1" applyAlignment="1">
      <alignment horizontal="right" vertical="center"/>
    </xf>
    <xf numFmtId="0" fontId="8" fillId="3" borderId="14" xfId="2" applyFont="1" applyFill="1" applyBorder="1" applyAlignment="1">
      <alignment horizontal="right" vertical="center"/>
    </xf>
    <xf numFmtId="0" fontId="18" fillId="3" borderId="9" xfId="0" applyFont="1" applyFill="1" applyBorder="1" applyAlignment="1">
      <alignment horizontal="right" vertical="center"/>
    </xf>
    <xf numFmtId="0" fontId="18" fillId="3" borderId="12" xfId="0" applyFont="1" applyFill="1" applyBorder="1" applyAlignment="1">
      <alignment horizontal="right" vertical="center"/>
    </xf>
    <xf numFmtId="0" fontId="18" fillId="3" borderId="13" xfId="0" applyFont="1" applyFill="1" applyBorder="1" applyAlignment="1">
      <alignment horizontal="right" vertical="center"/>
    </xf>
    <xf numFmtId="0" fontId="18" fillId="3" borderId="10" xfId="0" applyFont="1" applyFill="1" applyBorder="1" applyAlignment="1">
      <alignment horizontal="right" vertical="center"/>
    </xf>
    <xf numFmtId="0" fontId="18" fillId="3" borderId="14" xfId="0" applyFont="1" applyFill="1" applyBorder="1" applyAlignment="1">
      <alignment horizontal="right" vertical="center"/>
    </xf>
    <xf numFmtId="0" fontId="8" fillId="2" borderId="16" xfId="2" applyFont="1" applyFill="1" applyBorder="1" applyAlignment="1">
      <alignment horizontal="right" vertical="center"/>
    </xf>
    <xf numFmtId="0" fontId="18" fillId="2" borderId="12" xfId="0" applyFont="1" applyFill="1" applyBorder="1" applyAlignment="1">
      <alignment horizontal="right" vertical="center"/>
    </xf>
    <xf numFmtId="0" fontId="3" fillId="4" borderId="2" xfId="2" applyFont="1" applyFill="1" applyBorder="1">
      <alignment vertical="center"/>
    </xf>
    <xf numFmtId="0" fontId="5" fillId="4" borderId="3" xfId="2" applyFont="1" applyFill="1" applyBorder="1">
      <alignment vertical="center"/>
    </xf>
    <xf numFmtId="0" fontId="5" fillId="4" borderId="3" xfId="2" applyFont="1" applyFill="1" applyBorder="1" applyAlignment="1">
      <alignment vertical="center" wrapText="1"/>
    </xf>
    <xf numFmtId="0" fontId="7" fillId="4" borderId="3" xfId="2" applyFont="1" applyFill="1" applyBorder="1" applyAlignment="1">
      <alignment vertical="center" wrapText="1"/>
    </xf>
    <xf numFmtId="176" fontId="5" fillId="4" borderId="3" xfId="1" applyNumberFormat="1" applyFont="1" applyFill="1" applyBorder="1" applyAlignment="1">
      <alignment vertical="center" shrinkToFit="1"/>
    </xf>
    <xf numFmtId="0" fontId="8" fillId="4" borderId="4" xfId="2" applyFont="1" applyFill="1" applyBorder="1">
      <alignment vertical="center"/>
    </xf>
    <xf numFmtId="0" fontId="10" fillId="4" borderId="3" xfId="2" applyFont="1" applyFill="1" applyBorder="1" applyAlignment="1">
      <alignment vertical="center" wrapText="1"/>
    </xf>
    <xf numFmtId="0" fontId="11" fillId="4" borderId="3" xfId="0" applyFont="1" applyFill="1" applyBorder="1" applyAlignment="1">
      <alignment vertical="center" wrapText="1"/>
    </xf>
    <xf numFmtId="0" fontId="12" fillId="4" borderId="3" xfId="0" applyFont="1" applyFill="1" applyBorder="1" applyAlignment="1">
      <alignment vertical="center" wrapText="1"/>
    </xf>
    <xf numFmtId="0" fontId="11" fillId="4" borderId="7" xfId="0" applyFont="1" applyFill="1" applyBorder="1" applyAlignment="1">
      <alignment vertical="center" wrapText="1"/>
    </xf>
    <xf numFmtId="0" fontId="16" fillId="4" borderId="4" xfId="0" applyFont="1" applyFill="1" applyBorder="1" applyAlignment="1">
      <alignment vertical="center" wrapText="1"/>
    </xf>
    <xf numFmtId="0" fontId="16" fillId="4" borderId="5" xfId="0" applyFont="1" applyFill="1" applyBorder="1" applyAlignment="1">
      <alignment vertical="center" wrapText="1"/>
    </xf>
    <xf numFmtId="0" fontId="16" fillId="4" borderId="3" xfId="3" applyFont="1" applyFill="1" applyBorder="1" applyAlignment="1">
      <alignment vertical="center" wrapText="1"/>
    </xf>
    <xf numFmtId="0" fontId="8" fillId="4" borderId="3" xfId="2" applyFont="1" applyFill="1" applyBorder="1">
      <alignment vertical="center"/>
    </xf>
    <xf numFmtId="0" fontId="0" fillId="4" borderId="0" xfId="0" applyFill="1">
      <alignment vertical="center"/>
    </xf>
    <xf numFmtId="0" fontId="0" fillId="0" borderId="7" xfId="0" applyBorder="1">
      <alignment vertical="center"/>
    </xf>
    <xf numFmtId="0" fontId="3" fillId="4" borderId="17" xfId="2" applyFont="1" applyFill="1" applyBorder="1">
      <alignment vertical="center"/>
    </xf>
    <xf numFmtId="0" fontId="3" fillId="4" borderId="0" xfId="2" applyFont="1" applyFill="1">
      <alignment vertical="center"/>
    </xf>
    <xf numFmtId="0" fontId="5" fillId="4" borderId="17" xfId="2" applyFont="1" applyFill="1" applyBorder="1">
      <alignment vertical="center"/>
    </xf>
    <xf numFmtId="0" fontId="7" fillId="4" borderId="19" xfId="2" applyFont="1" applyFill="1" applyBorder="1" applyAlignment="1">
      <alignment vertical="center" wrapText="1"/>
    </xf>
    <xf numFmtId="176" fontId="5" fillId="4" borderId="19" xfId="1" applyNumberFormat="1" applyFont="1" applyFill="1" applyBorder="1" applyAlignment="1">
      <alignment vertical="center" shrinkToFit="1"/>
    </xf>
    <xf numFmtId="0" fontId="8" fillId="4" borderId="17" xfId="2" applyFont="1" applyFill="1" applyBorder="1">
      <alignment vertical="center"/>
    </xf>
    <xf numFmtId="0" fontId="8" fillId="4" borderId="0" xfId="2" applyFont="1" applyFill="1">
      <alignment vertical="center"/>
    </xf>
    <xf numFmtId="0" fontId="8" fillId="4" borderId="19" xfId="2" applyFont="1" applyFill="1" applyBorder="1">
      <alignment vertical="center"/>
    </xf>
    <xf numFmtId="0" fontId="10" fillId="4" borderId="0" xfId="2" applyFont="1" applyFill="1" applyAlignment="1">
      <alignment vertical="center" wrapText="1"/>
    </xf>
    <xf numFmtId="0" fontId="11" fillId="4" borderId="17" xfId="0" applyFont="1" applyFill="1" applyBorder="1" applyAlignment="1">
      <alignment vertical="center" wrapText="1"/>
    </xf>
    <xf numFmtId="0" fontId="12" fillId="4" borderId="17" xfId="0" applyFont="1" applyFill="1" applyBorder="1" applyAlignment="1">
      <alignment vertical="center" wrapText="1"/>
    </xf>
    <xf numFmtId="0" fontId="13" fillId="4" borderId="1" xfId="0" applyFont="1" applyFill="1" applyBorder="1" applyAlignment="1">
      <alignment vertical="center" wrapText="1"/>
    </xf>
    <xf numFmtId="0" fontId="13" fillId="4" borderId="0" xfId="0" applyFont="1" applyFill="1" applyAlignment="1">
      <alignment vertical="center" wrapText="1"/>
    </xf>
    <xf numFmtId="0" fontId="13" fillId="4" borderId="19" xfId="0" applyFont="1" applyFill="1" applyBorder="1" applyAlignment="1">
      <alignment vertical="center" wrapText="1"/>
    </xf>
    <xf numFmtId="0" fontId="12" fillId="4" borderId="19" xfId="0" applyFont="1" applyFill="1" applyBorder="1" applyAlignment="1">
      <alignment vertical="center" wrapText="1"/>
    </xf>
    <xf numFmtId="0" fontId="16" fillId="4" borderId="17" xfId="0" applyFont="1" applyFill="1" applyBorder="1" applyAlignment="1">
      <alignment vertical="center" wrapText="1"/>
    </xf>
    <xf numFmtId="0" fontId="16" fillId="4" borderId="0" xfId="0" applyFont="1" applyFill="1" applyAlignment="1">
      <alignment vertical="center" wrapText="1"/>
    </xf>
    <xf numFmtId="0" fontId="16" fillId="4" borderId="17" xfId="3" applyFont="1" applyFill="1" applyBorder="1" applyAlignment="1">
      <alignment vertical="center" wrapText="1"/>
    </xf>
    <xf numFmtId="0" fontId="5" fillId="4" borderId="19" xfId="2" applyFont="1" applyFill="1" applyBorder="1" applyAlignment="1">
      <alignment vertical="center" wrapText="1"/>
    </xf>
    <xf numFmtId="0" fontId="8" fillId="4" borderId="18" xfId="2" applyFont="1" applyFill="1" applyBorder="1">
      <alignment vertical="center"/>
    </xf>
    <xf numFmtId="0" fontId="19" fillId="0" borderId="0" xfId="0" applyFont="1">
      <alignment vertical="center"/>
    </xf>
    <xf numFmtId="0" fontId="13" fillId="4" borderId="4" xfId="0" applyFont="1" applyFill="1" applyBorder="1" applyAlignment="1">
      <alignment horizontal="center" vertical="center" wrapText="1"/>
    </xf>
    <xf numFmtId="0" fontId="13" fillId="4" borderId="6" xfId="0" applyFont="1" applyFill="1" applyBorder="1" applyAlignment="1">
      <alignment horizontal="center" vertical="center" wrapText="1"/>
    </xf>
    <xf numFmtId="0" fontId="13" fillId="4" borderId="5" xfId="0" applyFont="1" applyFill="1" applyBorder="1" applyAlignment="1">
      <alignment horizontal="center" vertical="center" wrapText="1"/>
    </xf>
    <xf numFmtId="0" fontId="8" fillId="4" borderId="4" xfId="2" applyFont="1" applyFill="1" applyBorder="1" applyAlignment="1">
      <alignment horizontal="center" vertical="center"/>
    </xf>
    <xf numFmtId="0" fontId="8" fillId="4" borderId="6" xfId="2" applyFont="1" applyFill="1" applyBorder="1" applyAlignment="1">
      <alignment horizontal="center" vertical="center"/>
    </xf>
    <xf numFmtId="0" fontId="8" fillId="4" borderId="5" xfId="2" applyFont="1" applyFill="1" applyBorder="1" applyAlignment="1">
      <alignment horizontal="center" vertical="center"/>
    </xf>
  </cellXfs>
  <cellStyles count="5">
    <cellStyle name="桁区切り" xfId="1" builtinId="6"/>
    <cellStyle name="標準" xfId="0" builtinId="0"/>
    <cellStyle name="標準 2" xfId="2" xr:uid="{1BC26658-9D7F-458A-82AD-E59F44AD0405}"/>
    <cellStyle name="標準 2 3" xfId="4" xr:uid="{62DA118C-2B0A-4E7B-870C-E19E0B0F03D6}"/>
    <cellStyle name="標準 2 3 2" xfId="3" xr:uid="{EFF064E9-FF57-48C4-8374-3F3F20F28B4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3D271-4501-4550-A6A7-30F90C73FB82}">
  <dimension ref="A1:AM14"/>
  <sheetViews>
    <sheetView tabSelected="1" topLeftCell="C1" zoomScale="70" zoomScaleNormal="70" workbookViewId="0">
      <selection activeCell="L13" sqref="L13"/>
    </sheetView>
  </sheetViews>
  <sheetFormatPr defaultRowHeight="18" x14ac:dyDescent="0.45"/>
  <cols>
    <col min="1" max="1" width="19.69921875" customWidth="1"/>
    <col min="2" max="2" width="27.59765625" customWidth="1"/>
    <col min="3" max="3" width="37.5" bestFit="1" customWidth="1"/>
    <col min="4" max="32" width="8.796875" customWidth="1"/>
  </cols>
  <sheetData>
    <row r="1" spans="1:39" x14ac:dyDescent="0.45">
      <c r="A1" t="s">
        <v>43</v>
      </c>
      <c r="B1" t="s">
        <v>44</v>
      </c>
    </row>
    <row r="2" spans="1:39" s="43" customFormat="1" ht="18" customHeight="1" x14ac:dyDescent="0.45">
      <c r="A2" s="44" t="s">
        <v>59</v>
      </c>
      <c r="B2" s="65" t="s">
        <v>57</v>
      </c>
      <c r="C2" s="29" t="s">
        <v>58</v>
      </c>
      <c r="D2" s="30" t="s">
        <v>60</v>
      </c>
      <c r="E2" s="32" t="s">
        <v>61</v>
      </c>
      <c r="F2" s="33" t="s">
        <v>62</v>
      </c>
      <c r="G2" s="34" t="s">
        <v>0</v>
      </c>
      <c r="H2" s="69" t="s">
        <v>1</v>
      </c>
      <c r="I2" s="70"/>
      <c r="J2" s="71"/>
      <c r="K2" s="69" t="s">
        <v>2</v>
      </c>
      <c r="L2" s="70"/>
      <c r="M2" s="71"/>
      <c r="N2" s="69" t="s">
        <v>3</v>
      </c>
      <c r="O2" s="70"/>
      <c r="P2" s="71"/>
      <c r="Q2" s="35" t="s">
        <v>4</v>
      </c>
      <c r="R2" s="66" t="s">
        <v>5</v>
      </c>
      <c r="S2" s="67"/>
      <c r="T2" s="67"/>
      <c r="U2" s="68"/>
      <c r="V2" s="36" t="s">
        <v>6</v>
      </c>
      <c r="W2" s="38" t="s">
        <v>7</v>
      </c>
      <c r="X2" s="37" t="s">
        <v>8</v>
      </c>
      <c r="Y2" s="39" t="s">
        <v>9</v>
      </c>
      <c r="Z2" s="40"/>
      <c r="AA2" s="41" t="s">
        <v>10</v>
      </c>
      <c r="AB2" s="36" t="s">
        <v>11</v>
      </c>
      <c r="AC2" s="36" t="s">
        <v>12</v>
      </c>
      <c r="AD2" s="36" t="s">
        <v>13</v>
      </c>
      <c r="AE2" s="37" t="s">
        <v>14</v>
      </c>
      <c r="AF2" s="36" t="s">
        <v>15</v>
      </c>
      <c r="AG2" s="36" t="s">
        <v>16</v>
      </c>
      <c r="AH2" s="36" t="s">
        <v>17</v>
      </c>
      <c r="AI2" s="36" t="s">
        <v>18</v>
      </c>
      <c r="AJ2" s="36" t="s">
        <v>19</v>
      </c>
      <c r="AK2" s="34" t="s">
        <v>20</v>
      </c>
      <c r="AL2" s="31" t="s">
        <v>21</v>
      </c>
      <c r="AM2" s="42" t="s">
        <v>63</v>
      </c>
    </row>
    <row r="3" spans="1:39" s="43" customFormat="1" ht="18" customHeight="1" x14ac:dyDescent="0.45">
      <c r="B3" s="45"/>
      <c r="C3" s="46"/>
      <c r="D3" s="47"/>
      <c r="E3" s="48"/>
      <c r="F3" s="49"/>
      <c r="G3" s="50"/>
      <c r="H3" s="50" t="s">
        <v>35</v>
      </c>
      <c r="I3" s="51" t="s">
        <v>36</v>
      </c>
      <c r="J3" s="52" t="s">
        <v>37</v>
      </c>
      <c r="K3" s="50" t="s">
        <v>35</v>
      </c>
      <c r="L3" s="51" t="s">
        <v>36</v>
      </c>
      <c r="M3" s="52" t="s">
        <v>37</v>
      </c>
      <c r="N3" s="50" t="s">
        <v>35</v>
      </c>
      <c r="O3" s="51" t="s">
        <v>36</v>
      </c>
      <c r="P3" s="52" t="s">
        <v>37</v>
      </c>
      <c r="Q3" s="53" t="s">
        <v>38</v>
      </c>
      <c r="R3" s="56" t="s">
        <v>39</v>
      </c>
      <c r="S3" s="57" t="s">
        <v>40</v>
      </c>
      <c r="T3" s="57" t="s">
        <v>41</v>
      </c>
      <c r="U3" s="58" t="s">
        <v>42</v>
      </c>
      <c r="V3" s="54"/>
      <c r="W3" s="54"/>
      <c r="X3" s="59"/>
      <c r="Y3" s="60"/>
      <c r="Z3" s="61"/>
      <c r="AA3" s="62"/>
      <c r="AB3" s="54"/>
      <c r="AC3" s="54"/>
      <c r="AD3" s="54"/>
      <c r="AE3" s="55"/>
      <c r="AF3" s="54"/>
      <c r="AG3" s="54"/>
      <c r="AH3" s="54"/>
      <c r="AI3" s="54"/>
      <c r="AJ3" s="54"/>
      <c r="AK3" s="51"/>
      <c r="AL3" s="63"/>
      <c r="AM3" s="64"/>
    </row>
    <row r="4" spans="1:39" x14ac:dyDescent="0.45">
      <c r="A4" s="44" t="s">
        <v>22</v>
      </c>
      <c r="B4" s="1" t="s">
        <v>45</v>
      </c>
      <c r="C4" s="2" t="s">
        <v>22</v>
      </c>
      <c r="D4" s="2">
        <v>324</v>
      </c>
      <c r="E4" s="4">
        <v>7</v>
      </c>
      <c r="F4" s="4">
        <v>34.200000000000003</v>
      </c>
      <c r="G4" s="3"/>
      <c r="H4" s="6"/>
      <c r="I4" s="7"/>
      <c r="J4" s="4"/>
      <c r="K4" s="6"/>
      <c r="L4" s="7"/>
      <c r="M4" s="7"/>
      <c r="N4" s="6"/>
      <c r="O4" s="7"/>
      <c r="P4" s="5"/>
      <c r="Q4" s="8"/>
      <c r="R4" s="9"/>
      <c r="S4" s="7"/>
      <c r="T4" s="10"/>
      <c r="U4" s="11"/>
      <c r="V4" s="12"/>
      <c r="W4" s="12"/>
      <c r="X4" s="11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3"/>
      <c r="AL4" s="11">
        <v>100</v>
      </c>
      <c r="AM4" s="14">
        <f>SUM(G4:AL4)</f>
        <v>100</v>
      </c>
    </row>
    <row r="5" spans="1:39" x14ac:dyDescent="0.45">
      <c r="A5" s="44" t="s">
        <v>22</v>
      </c>
      <c r="B5" s="15" t="s">
        <v>46</v>
      </c>
      <c r="C5" s="16" t="s">
        <v>23</v>
      </c>
      <c r="D5" s="16"/>
      <c r="E5" s="17">
        <v>10</v>
      </c>
      <c r="F5" s="17">
        <v>4.8816666666666668</v>
      </c>
      <c r="G5" s="18"/>
      <c r="H5" s="18"/>
      <c r="I5" s="19"/>
      <c r="J5" s="17"/>
      <c r="K5" s="18"/>
      <c r="L5" s="19"/>
      <c r="M5" s="19"/>
      <c r="N5" s="18"/>
      <c r="O5" s="19"/>
      <c r="P5" s="20"/>
      <c r="Q5" s="21"/>
      <c r="R5" s="23"/>
      <c r="S5" s="24"/>
      <c r="T5" s="24"/>
      <c r="U5" s="25"/>
      <c r="V5" s="22"/>
      <c r="W5" s="22"/>
      <c r="X5" s="25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6"/>
      <c r="AL5" s="25"/>
      <c r="AM5" s="14">
        <f t="shared" ref="AM5:AM14" si="0">SUM(G5:AL5)</f>
        <v>0</v>
      </c>
    </row>
    <row r="6" spans="1:39" x14ac:dyDescent="0.45">
      <c r="A6" s="44" t="s">
        <v>22</v>
      </c>
      <c r="B6" s="15" t="s">
        <v>47</v>
      </c>
      <c r="C6" s="16" t="s">
        <v>24</v>
      </c>
      <c r="D6" s="16"/>
      <c r="E6" s="17">
        <v>10</v>
      </c>
      <c r="F6" s="17">
        <v>4.8816666666666668</v>
      </c>
      <c r="G6" s="18"/>
      <c r="H6" s="18"/>
      <c r="I6" s="19"/>
      <c r="J6" s="17"/>
      <c r="K6" s="18"/>
      <c r="L6" s="19"/>
      <c r="M6" s="19"/>
      <c r="N6" s="18"/>
      <c r="O6" s="19"/>
      <c r="P6" s="20"/>
      <c r="Q6" s="21"/>
      <c r="R6" s="23"/>
      <c r="S6" s="24"/>
      <c r="T6" s="24"/>
      <c r="U6" s="25"/>
      <c r="V6" s="22"/>
      <c r="W6" s="22"/>
      <c r="X6" s="25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6"/>
      <c r="AL6" s="25"/>
      <c r="AM6" s="14">
        <f t="shared" si="0"/>
        <v>0</v>
      </c>
    </row>
    <row r="7" spans="1:39" x14ac:dyDescent="0.45">
      <c r="A7" s="44" t="s">
        <v>22</v>
      </c>
      <c r="B7" s="1" t="s">
        <v>48</v>
      </c>
      <c r="C7" s="2" t="s">
        <v>25</v>
      </c>
      <c r="D7" s="2">
        <v>324</v>
      </c>
      <c r="E7" s="4">
        <v>8</v>
      </c>
      <c r="F7" s="4">
        <v>34.200000000000003</v>
      </c>
      <c r="G7" s="6"/>
      <c r="H7" s="6"/>
      <c r="I7" s="7"/>
      <c r="J7" s="4"/>
      <c r="K7" s="6"/>
      <c r="L7" s="7"/>
      <c r="M7" s="7"/>
      <c r="N7" s="6"/>
      <c r="O7" s="7"/>
      <c r="P7" s="27"/>
      <c r="Q7" s="8"/>
      <c r="R7" s="28"/>
      <c r="S7" s="10"/>
      <c r="T7" s="10"/>
      <c r="U7" s="11"/>
      <c r="V7" s="12"/>
      <c r="W7" s="12"/>
      <c r="X7" s="11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3"/>
      <c r="AL7" s="11"/>
      <c r="AM7" s="14">
        <f t="shared" si="0"/>
        <v>0</v>
      </c>
    </row>
    <row r="8" spans="1:39" x14ac:dyDescent="0.45">
      <c r="A8" s="44" t="s">
        <v>33</v>
      </c>
      <c r="B8" s="15" t="s">
        <v>49</v>
      </c>
      <c r="C8" s="16" t="s">
        <v>26</v>
      </c>
      <c r="D8" s="16">
        <v>398</v>
      </c>
      <c r="E8" s="17">
        <v>4</v>
      </c>
      <c r="F8" s="17">
        <v>43.4</v>
      </c>
      <c r="G8" s="18"/>
      <c r="H8" s="18">
        <v>100</v>
      </c>
      <c r="I8" s="19"/>
      <c r="J8" s="17"/>
      <c r="K8" s="18"/>
      <c r="L8" s="19"/>
      <c r="M8" s="19"/>
      <c r="N8" s="18"/>
      <c r="O8" s="19"/>
      <c r="P8" s="20"/>
      <c r="Q8" s="21"/>
      <c r="R8" s="23"/>
      <c r="S8" s="24"/>
      <c r="T8" s="24"/>
      <c r="U8" s="25"/>
      <c r="V8" s="22"/>
      <c r="W8" s="22"/>
      <c r="X8" s="25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6"/>
      <c r="AL8" s="25"/>
      <c r="AM8" s="14">
        <f t="shared" si="0"/>
        <v>100</v>
      </c>
    </row>
    <row r="9" spans="1:39" x14ac:dyDescent="0.45">
      <c r="A9" s="44" t="s">
        <v>34</v>
      </c>
      <c r="B9" s="15" t="s">
        <v>50</v>
      </c>
      <c r="C9" s="16" t="s">
        <v>27</v>
      </c>
      <c r="D9" s="16">
        <v>314</v>
      </c>
      <c r="E9" s="17">
        <v>5</v>
      </c>
      <c r="F9" s="17">
        <v>50.3</v>
      </c>
      <c r="G9" s="18"/>
      <c r="H9" s="18"/>
      <c r="I9" s="19">
        <v>100</v>
      </c>
      <c r="J9" s="17"/>
      <c r="K9" s="18"/>
      <c r="L9" s="19"/>
      <c r="M9" s="19"/>
      <c r="N9" s="18"/>
      <c r="O9" s="19"/>
      <c r="P9" s="20"/>
      <c r="Q9" s="21"/>
      <c r="R9" s="23"/>
      <c r="S9" s="24"/>
      <c r="T9" s="24"/>
      <c r="U9" s="25"/>
      <c r="V9" s="22"/>
      <c r="W9" s="22"/>
      <c r="X9" s="25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6"/>
      <c r="AL9" s="25"/>
      <c r="AM9" s="14">
        <f t="shared" si="0"/>
        <v>100</v>
      </c>
    </row>
    <row r="10" spans="1:39" x14ac:dyDescent="0.45">
      <c r="A10" s="44" t="s">
        <v>34</v>
      </c>
      <c r="B10" s="1" t="s">
        <v>52</v>
      </c>
      <c r="C10" s="2" t="s">
        <v>51</v>
      </c>
      <c r="D10" s="2">
        <v>314</v>
      </c>
      <c r="E10" s="4">
        <v>9</v>
      </c>
      <c r="F10" s="4">
        <v>55.9</v>
      </c>
      <c r="G10" s="6"/>
      <c r="H10" s="6"/>
      <c r="I10" s="7"/>
      <c r="J10" s="4"/>
      <c r="K10" s="6"/>
      <c r="L10" s="7"/>
      <c r="M10" s="7"/>
      <c r="N10" s="6"/>
      <c r="O10" s="7"/>
      <c r="P10" s="27"/>
      <c r="Q10" s="8">
        <v>10</v>
      </c>
      <c r="R10" s="28"/>
      <c r="S10" s="10"/>
      <c r="T10" s="10"/>
      <c r="U10" s="11"/>
      <c r="V10" s="12">
        <v>90</v>
      </c>
      <c r="W10" s="12"/>
      <c r="X10" s="11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3"/>
      <c r="AL10" s="11"/>
      <c r="AM10" s="14">
        <f t="shared" si="0"/>
        <v>100</v>
      </c>
    </row>
    <row r="11" spans="1:39" x14ac:dyDescent="0.45">
      <c r="A11" s="44" t="s">
        <v>34</v>
      </c>
      <c r="B11" s="15" t="s">
        <v>53</v>
      </c>
      <c r="C11" s="16" t="s">
        <v>28</v>
      </c>
      <c r="D11" s="16">
        <v>472</v>
      </c>
      <c r="E11" s="17">
        <v>6</v>
      </c>
      <c r="F11" s="17">
        <v>127.6</v>
      </c>
      <c r="G11" s="18"/>
      <c r="H11" s="18"/>
      <c r="I11" s="19"/>
      <c r="J11" s="17"/>
      <c r="K11" s="18">
        <v>100</v>
      </c>
      <c r="L11" s="19"/>
      <c r="M11" s="19"/>
      <c r="N11" s="18"/>
      <c r="O11" s="19"/>
      <c r="P11" s="20"/>
      <c r="Q11" s="21"/>
      <c r="R11" s="23"/>
      <c r="S11" s="24"/>
      <c r="T11" s="24"/>
      <c r="U11" s="25"/>
      <c r="V11" s="22"/>
      <c r="W11" s="22"/>
      <c r="X11" s="25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6"/>
      <c r="AL11" s="25"/>
      <c r="AM11" s="14">
        <f t="shared" si="0"/>
        <v>100</v>
      </c>
    </row>
    <row r="12" spans="1:39" x14ac:dyDescent="0.45">
      <c r="A12" s="44" t="s">
        <v>32</v>
      </c>
      <c r="B12" s="15" t="s">
        <v>54</v>
      </c>
      <c r="C12" s="16" t="s">
        <v>29</v>
      </c>
      <c r="D12" s="16">
        <v>231</v>
      </c>
      <c r="E12" s="17">
        <v>8</v>
      </c>
      <c r="F12" s="17">
        <v>24.3</v>
      </c>
      <c r="G12" s="18"/>
      <c r="H12" s="18"/>
      <c r="I12" s="19"/>
      <c r="J12" s="17"/>
      <c r="K12" s="18"/>
      <c r="L12" s="19"/>
      <c r="M12" s="19"/>
      <c r="N12" s="18"/>
      <c r="O12" s="19"/>
      <c r="P12" s="20"/>
      <c r="Q12" s="21"/>
      <c r="R12" s="23"/>
      <c r="S12" s="24">
        <v>50</v>
      </c>
      <c r="T12" s="24">
        <v>50</v>
      </c>
      <c r="U12" s="25"/>
      <c r="V12" s="22"/>
      <c r="W12" s="22"/>
      <c r="X12" s="25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6"/>
      <c r="AL12" s="25"/>
      <c r="AM12" s="14">
        <f t="shared" si="0"/>
        <v>100</v>
      </c>
    </row>
    <row r="13" spans="1:39" x14ac:dyDescent="0.45">
      <c r="A13" s="44" t="s">
        <v>32</v>
      </c>
      <c r="B13" s="1" t="s">
        <v>56</v>
      </c>
      <c r="C13" s="2" t="s">
        <v>30</v>
      </c>
      <c r="D13" s="2">
        <v>314</v>
      </c>
      <c r="E13" s="4">
        <v>8</v>
      </c>
      <c r="F13" s="4">
        <v>50.5</v>
      </c>
      <c r="G13" s="6"/>
      <c r="H13" s="6"/>
      <c r="I13" s="7"/>
      <c r="J13" s="4"/>
      <c r="K13" s="6"/>
      <c r="L13" s="7"/>
      <c r="M13" s="7">
        <v>100</v>
      </c>
      <c r="N13" s="6"/>
      <c r="O13" s="7"/>
      <c r="P13" s="27"/>
      <c r="Q13" s="8"/>
      <c r="R13" s="28"/>
      <c r="S13" s="10"/>
      <c r="T13" s="10"/>
      <c r="U13" s="11"/>
      <c r="V13" s="12"/>
      <c r="W13" s="12"/>
      <c r="X13" s="11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3"/>
      <c r="AL13" s="11"/>
      <c r="AM13" s="14">
        <f t="shared" si="0"/>
        <v>100</v>
      </c>
    </row>
    <row r="14" spans="1:39" x14ac:dyDescent="0.45">
      <c r="A14" s="44" t="s">
        <v>32</v>
      </c>
      <c r="B14" s="15" t="s">
        <v>55</v>
      </c>
      <c r="C14" s="16" t="s">
        <v>31</v>
      </c>
      <c r="D14" s="16">
        <v>314</v>
      </c>
      <c r="E14" s="17">
        <v>8</v>
      </c>
      <c r="F14" s="17">
        <v>43.4</v>
      </c>
      <c r="G14" s="18"/>
      <c r="H14" s="18"/>
      <c r="I14" s="19"/>
      <c r="J14" s="17"/>
      <c r="K14" s="18"/>
      <c r="L14" s="19"/>
      <c r="M14" s="19"/>
      <c r="N14" s="18">
        <v>100</v>
      </c>
      <c r="O14" s="19"/>
      <c r="P14" s="20"/>
      <c r="Q14" s="21"/>
      <c r="R14" s="23"/>
      <c r="S14" s="24"/>
      <c r="T14" s="24"/>
      <c r="U14" s="25"/>
      <c r="V14" s="22"/>
      <c r="W14" s="22"/>
      <c r="X14" s="25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6"/>
      <c r="AL14" s="25"/>
      <c r="AM14" s="14">
        <f t="shared" si="0"/>
        <v>100</v>
      </c>
    </row>
  </sheetData>
  <autoFilter ref="B2:AM14" xr:uid="{B093D271-4501-4550-A6A7-30F90C73FB82}"/>
  <mergeCells count="4">
    <mergeCell ref="R2:U2"/>
    <mergeCell ref="N2:P2"/>
    <mergeCell ref="K2:M2"/>
    <mergeCell ref="H2:J2"/>
  </mergeCells>
  <phoneticPr fontId="4"/>
  <pageMargins left="0.7" right="0.7" top="0.75" bottom="0.75" header="0.3" footer="0.3"/>
  <pageSetup paperSize="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20260317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Hiroshi KIMURA</dc:creator>
  <cp:lastModifiedBy>Hiroshi KIMURA</cp:lastModifiedBy>
  <dcterms:created xsi:type="dcterms:W3CDTF">2026-03-03T03:42:50Z</dcterms:created>
  <dcterms:modified xsi:type="dcterms:W3CDTF">2026-03-24T06:44:11Z</dcterms:modified>
</cp:coreProperties>
</file>